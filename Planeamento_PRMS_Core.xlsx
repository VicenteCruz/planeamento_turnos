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genibet-my.sharepoint.com/personal/jose_brites_genibet_com/Documents/"/>
    </mc:Choice>
  </mc:AlternateContent>
  <xr:revisionPtr revIDLastSave="604" documentId="11_E60897F41BE170836B02CE998F75CCDC64E183C8" xr6:coauthVersionLast="47" xr6:coauthVersionMax="47" xr10:uidLastSave="{F7EC80EE-5AAA-4939-B9C1-C439C0311127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20" i="1"/>
  <c r="B20" i="1"/>
  <c r="D19" i="1"/>
  <c r="C19" i="1"/>
  <c r="B19" i="1"/>
  <c r="D18" i="1"/>
  <c r="C18" i="1"/>
  <c r="B18" i="1"/>
  <c r="D17" i="1"/>
  <c r="C17" i="1"/>
  <c r="B17" i="1"/>
  <c r="AO21" i="1"/>
  <c r="AJ21" i="1"/>
  <c r="AK21" i="1" s="1"/>
  <c r="AL21" i="1" s="1"/>
  <c r="AM21" i="1" s="1"/>
  <c r="AN21" i="1" s="1"/>
  <c r="H21" i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G21" i="1"/>
</calcChain>
</file>

<file path=xl/sharedStrings.xml><?xml version="1.0" encoding="utf-8"?>
<sst xmlns="http://schemas.openxmlformats.org/spreadsheetml/2006/main" count="114" uniqueCount="33">
  <si>
    <t>Até dia 28/MAY</t>
  </si>
  <si>
    <t>% 8-17H</t>
  </si>
  <si>
    <t>% 12-21H</t>
  </si>
  <si>
    <t>% 16-01H</t>
  </si>
  <si>
    <t>MSP</t>
  </si>
  <si>
    <t>30/30</t>
  </si>
  <si>
    <t>CMM</t>
  </si>
  <si>
    <t>29/30</t>
  </si>
  <si>
    <t>JB</t>
  </si>
  <si>
    <t>CPS</t>
  </si>
  <si>
    <t>28/30</t>
  </si>
  <si>
    <t>Range:</t>
  </si>
  <si>
    <t>40-60%</t>
  </si>
  <si>
    <t>07/may</t>
  </si>
  <si>
    <t>11/may</t>
  </si>
  <si>
    <t>14/may</t>
  </si>
  <si>
    <t>18/may</t>
  </si>
  <si>
    <t>21/may</t>
  </si>
  <si>
    <t>25/may</t>
  </si>
  <si>
    <t>28/may</t>
  </si>
  <si>
    <t>8h-17h</t>
  </si>
  <si>
    <t>CPS + CMM</t>
  </si>
  <si>
    <t>JB + MSP</t>
  </si>
  <si>
    <t>JB + CPS</t>
  </si>
  <si>
    <t>CMM + MSP</t>
  </si>
  <si>
    <t>CMM + CPS</t>
  </si>
  <si>
    <t>MSP + CMM</t>
  </si>
  <si>
    <t>MSP + CPS</t>
  </si>
  <si>
    <t>JB + CMM</t>
  </si>
  <si>
    <t>CPS + MSP</t>
  </si>
  <si>
    <t>12h-21h</t>
  </si>
  <si>
    <t>16h-01h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</si>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</sst>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3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0" fontId="0" fillId="3" borderId="14" xfId="0" applyNumberFormat="1" applyFill="1" applyBorder="1" applyAlignment="1">
      <alignment horizontal="center"/>
    </xf>
    <xf numFmtId="10" fontId="0" fillId="3" borderId="11" xfId="0" applyNumberFormat="1" applyFill="1" applyBorder="1" applyAlignment="1">
      <alignment horizontal="center"/>
    </xf>
    <xf numFmtId="0" fontId="0" fillId="3" borderId="0" xfId="0" applyFill="1" applyAlignment="1">
      <alignment horizontal="right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" fontId="0" fillId="0" borderId="18" xfId="0" applyNumberFormat="1" applyBorder="1" applyAlignment="1">
      <alignment horizontal="center"/>
    </xf>
    <xf numFmtId="16" fontId="0" fillId="0" borderId="22" xfId="0" applyNumberFormat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16" fontId="0" fillId="0" borderId="25" xfId="0" applyNumberFormat="1" applyBorder="1" applyAlignment="1">
      <alignment horizontal="center"/>
    </xf>
    <xf numFmtId="16" fontId="0" fillId="0" borderId="26" xfId="0" applyNumberFormat="1" applyBorder="1" applyAlignment="1">
      <alignment horizontal="center"/>
    </xf>
    <xf numFmtId="16" fontId="0" fillId="0" borderId="27" xfId="0" applyNumberFormat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16" fontId="0" fillId="0" borderId="28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16" fontId="0" fillId="0" borderId="35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39" xfId="0" applyFill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790575</xdr:colOff>
      <xdr:row>5</xdr:row>
      <xdr:rowOff>161925</xdr:rowOff>
    </xdr:from>
    <xdr:to>
      <xdr:col>21</xdr:col>
      <xdr:colOff>247650</xdr:colOff>
      <xdr:row>13</xdr:row>
      <xdr:rowOff>114300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31C3AE00-314D-81ED-03C6-68D5FC42F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33012"/>
        <a:stretch>
          <a:fillRect/>
        </a:stretch>
      </xdr:blipFill>
      <xdr:spPr>
        <a:xfrm>
          <a:off x="3228975" y="1114425"/>
          <a:ext cx="2209800" cy="1476375"/>
        </a:xfrm>
        <a:prstGeom prst="rect">
          <a:avLst/>
        </a:prstGeom>
      </xdr:spPr>
    </xdr:pic>
    <xdr:clientData/>
  </xdr:twoCellAnchor>
  <xdr:twoCellAnchor editAs="oneCell">
    <xdr:from>
      <xdr:col>20</xdr:col>
      <xdr:colOff>476250</xdr:colOff>
      <xdr:row>32</xdr:row>
      <xdr:rowOff>19050</xdr:rowOff>
    </xdr:from>
    <xdr:to>
      <xdr:col>23</xdr:col>
      <xdr:colOff>438150</xdr:colOff>
      <xdr:row>44</xdr:row>
      <xdr:rowOff>152400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CDF6389B-F38A-FED9-0CE8-B98CB2E9574B}"/>
            </a:ext>
            <a:ext uri="{147F2762-F138-4A5C-976F-8EAC2B608ADB}">
              <a16:predDERef xmlns:a16="http://schemas.microsoft.com/office/drawing/2014/main" pred="{31C3AE00-314D-81ED-03C6-68D5FC42F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0125" y="6115050"/>
          <a:ext cx="2419350" cy="2419350"/>
        </a:xfrm>
        <a:prstGeom prst="rect">
          <a:avLst/>
        </a:prstGeom>
      </xdr:spPr>
    </xdr:pic>
    <xdr:clientData/>
  </xdr:twoCellAnchor>
  <xdr:twoCellAnchor>
    <xdr:from>
      <xdr:col>21</xdr:col>
      <xdr:colOff>552450</xdr:colOff>
      <xdr:row>25</xdr:row>
      <xdr:rowOff>133350</xdr:rowOff>
    </xdr:from>
    <xdr:to>
      <xdr:col>22</xdr:col>
      <xdr:colOff>247650</xdr:colOff>
      <xdr:row>31</xdr:row>
      <xdr:rowOff>9525</xdr:rowOff>
    </xdr:to>
    <xdr:sp macro="" textlink="">
      <xdr:nvSpPr>
        <xdr:cNvPr id="29" name="Down Arrow 5">
          <a:extLst>
            <a:ext uri="{FF2B5EF4-FFF2-40B4-BE49-F238E27FC236}">
              <a16:creationId xmlns:a16="http://schemas.microsoft.com/office/drawing/2014/main" id="{CE17A053-CB06-DD1A-3EC4-9CBD9582B495}"/>
            </a:ext>
            <a:ext uri="{147F2762-F138-4A5C-976F-8EAC2B608ADB}">
              <a16:predDERef xmlns:a16="http://schemas.microsoft.com/office/drawing/2014/main" pred="{CDF6389B-F38A-FED9-0CE8-B98CB2E9574B}"/>
            </a:ext>
          </a:extLst>
        </xdr:cNvPr>
        <xdr:cNvSpPr/>
      </xdr:nvSpPr>
      <xdr:spPr>
        <a:xfrm>
          <a:off x="5743575" y="4895850"/>
          <a:ext cx="504825" cy="10191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19</xdr:col>
      <xdr:colOff>628650</xdr:colOff>
      <xdr:row>14</xdr:row>
      <xdr:rowOff>133350</xdr:rowOff>
    </xdr:from>
    <xdr:to>
      <xdr:col>20</xdr:col>
      <xdr:colOff>219075</xdr:colOff>
      <xdr:row>20</xdr:row>
      <xdr:rowOff>9525</xdr:rowOff>
    </xdr:to>
    <xdr:sp macro="" textlink="">
      <xdr:nvSpPr>
        <xdr:cNvPr id="27" name="Down Arrow 6">
          <a:extLst>
            <a:ext uri="{FF2B5EF4-FFF2-40B4-BE49-F238E27FC236}">
              <a16:creationId xmlns:a16="http://schemas.microsoft.com/office/drawing/2014/main" id="{6146A0C7-2081-4745-8DA2-60D7C6D7A27C}"/>
            </a:ext>
            <a:ext uri="{147F2762-F138-4A5C-976F-8EAC2B608ADB}">
              <a16:predDERef xmlns:a16="http://schemas.microsoft.com/office/drawing/2014/main" pred="{CE17A053-CB06-DD1A-3EC4-9CBD9582B495}"/>
            </a:ext>
          </a:extLst>
        </xdr:cNvPr>
        <xdr:cNvSpPr/>
      </xdr:nvSpPr>
      <xdr:spPr>
        <a:xfrm rot="10800000">
          <a:off x="4048125" y="2800350"/>
          <a:ext cx="504825" cy="10191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23</xdr:col>
      <xdr:colOff>333375</xdr:colOff>
      <xdr:row>14</xdr:row>
      <xdr:rowOff>152400</xdr:rowOff>
    </xdr:from>
    <xdr:to>
      <xdr:col>24</xdr:col>
      <xdr:colOff>228600</xdr:colOff>
      <xdr:row>20</xdr:row>
      <xdr:rowOff>28575</xdr:rowOff>
    </xdr:to>
    <xdr:sp macro="" textlink="">
      <xdr:nvSpPr>
        <xdr:cNvPr id="33" name="Down Arrow 9">
          <a:extLst>
            <a:ext uri="{FF2B5EF4-FFF2-40B4-BE49-F238E27FC236}">
              <a16:creationId xmlns:a16="http://schemas.microsoft.com/office/drawing/2014/main" id="{9ED832CA-22DE-41C0-9E95-05A68B571CDA}"/>
            </a:ext>
            <a:ext uri="{147F2762-F138-4A5C-976F-8EAC2B608ADB}">
              <a16:predDERef xmlns:a16="http://schemas.microsoft.com/office/drawing/2014/main" pred="{6146A0C7-2081-4745-8DA2-60D7C6D7A27C}"/>
            </a:ext>
          </a:extLst>
        </xdr:cNvPr>
        <xdr:cNvSpPr/>
      </xdr:nvSpPr>
      <xdr:spPr>
        <a:xfrm rot="10800000">
          <a:off x="7124700" y="2819400"/>
          <a:ext cx="504825" cy="10191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22</xdr:col>
      <xdr:colOff>295275</xdr:colOff>
      <xdr:row>2</xdr:row>
      <xdr:rowOff>152400</xdr:rowOff>
    </xdr:from>
    <xdr:to>
      <xdr:col>25</xdr:col>
      <xdr:colOff>247650</xdr:colOff>
      <xdr:row>13</xdr:row>
      <xdr:rowOff>152400</xdr:rowOff>
    </xdr:to>
    <xdr:pic>
      <xdr:nvPicPr>
        <xdr:cNvPr id="36" name="Picture 10">
          <a:extLst>
            <a:ext uri="{FF2B5EF4-FFF2-40B4-BE49-F238E27FC236}">
              <a16:creationId xmlns:a16="http://schemas.microsoft.com/office/drawing/2014/main" id="{E9935058-47AA-EDD1-9AFB-57EF2ED04100}"/>
            </a:ext>
            <a:ext uri="{147F2762-F138-4A5C-976F-8EAC2B608ADB}">
              <a16:predDERef xmlns:a16="http://schemas.microsoft.com/office/drawing/2014/main" pred="{9ED832CA-22DE-41C0-9E95-05A68B571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96025" y="533400"/>
          <a:ext cx="2095500" cy="2095500"/>
        </a:xfrm>
        <a:prstGeom prst="rect">
          <a:avLst/>
        </a:prstGeom>
      </xdr:spPr>
    </xdr:pic>
    <xdr:clientData/>
  </xdr:twoCellAnchor>
  <xdr:twoCellAnchor>
    <xdr:from>
      <xdr:col>3</xdr:col>
      <xdr:colOff>390525</xdr:colOff>
      <xdr:row>22</xdr:row>
      <xdr:rowOff>0</xdr:rowOff>
    </xdr:from>
    <xdr:to>
      <xdr:col>3</xdr:col>
      <xdr:colOff>533400</xdr:colOff>
      <xdr:row>22</xdr:row>
      <xdr:rowOff>133350</xdr:rowOff>
    </xdr:to>
    <xdr:sp macro="" textlink="">
      <xdr:nvSpPr>
        <xdr:cNvPr id="44" name="Smiley Face 11">
          <a:extLst>
            <a:ext uri="{FF2B5EF4-FFF2-40B4-BE49-F238E27FC236}">
              <a16:creationId xmlns:a16="http://schemas.microsoft.com/office/drawing/2014/main" id="{BDB90802-2F45-6B3A-22F3-8A8C86BF985A}"/>
            </a:ext>
            <a:ext uri="{147F2762-F138-4A5C-976F-8EAC2B608ADB}">
              <a16:predDERef xmlns:a16="http://schemas.microsoft.com/office/drawing/2014/main" pred="{E9935058-47AA-EDD1-9AFB-57EF2ED04100}"/>
            </a:ext>
          </a:extLst>
        </xdr:cNvPr>
        <xdr:cNvSpPr/>
      </xdr:nvSpPr>
      <xdr:spPr>
        <a:xfrm>
          <a:off x="1609725" y="4191000"/>
          <a:ext cx="142875" cy="133350"/>
        </a:xfrm>
        <a:prstGeom prst="smileyFace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390525</xdr:colOff>
      <xdr:row>23</xdr:row>
      <xdr:rowOff>9525</xdr:rowOff>
    </xdr:from>
    <xdr:to>
      <xdr:col>3</xdr:col>
      <xdr:colOff>533400</xdr:colOff>
      <xdr:row>23</xdr:row>
      <xdr:rowOff>142875</xdr:rowOff>
    </xdr:to>
    <xdr:sp macro="" textlink="">
      <xdr:nvSpPr>
        <xdr:cNvPr id="51" name="Smiley Face 12">
          <a:extLst>
            <a:ext uri="{FF2B5EF4-FFF2-40B4-BE49-F238E27FC236}">
              <a16:creationId xmlns:a16="http://schemas.microsoft.com/office/drawing/2014/main" id="{B934AC47-F557-4151-8AD4-7D0B631AD399}"/>
            </a:ext>
            <a:ext uri="{147F2762-F138-4A5C-976F-8EAC2B608ADB}">
              <a16:predDERef xmlns:a16="http://schemas.microsoft.com/office/drawing/2014/main" pred="{BDB90802-2F45-6B3A-22F3-8A8C86BF985A}"/>
            </a:ext>
          </a:extLst>
        </xdr:cNvPr>
        <xdr:cNvSpPr/>
      </xdr:nvSpPr>
      <xdr:spPr>
        <a:xfrm>
          <a:off x="1609725" y="4391025"/>
          <a:ext cx="142875" cy="133350"/>
        </a:xfrm>
        <a:prstGeom prst="smileyFac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390525</xdr:colOff>
      <xdr:row>24</xdr:row>
      <xdr:rowOff>28575</xdr:rowOff>
    </xdr:from>
    <xdr:to>
      <xdr:col>3</xdr:col>
      <xdr:colOff>533400</xdr:colOff>
      <xdr:row>24</xdr:row>
      <xdr:rowOff>161925</xdr:rowOff>
    </xdr:to>
    <xdr:sp macro="" textlink="">
      <xdr:nvSpPr>
        <xdr:cNvPr id="53" name="Smiley Face 13">
          <a:extLst>
            <a:ext uri="{FF2B5EF4-FFF2-40B4-BE49-F238E27FC236}">
              <a16:creationId xmlns:a16="http://schemas.microsoft.com/office/drawing/2014/main" id="{58507104-0685-44E3-84C5-BFE9C7533D32}"/>
            </a:ext>
            <a:ext uri="{147F2762-F138-4A5C-976F-8EAC2B608ADB}">
              <a16:predDERef xmlns:a16="http://schemas.microsoft.com/office/drawing/2014/main" pred="{B934AC47-F557-4151-8AD4-7D0B631AD399}"/>
            </a:ext>
          </a:extLst>
        </xdr:cNvPr>
        <xdr:cNvSpPr/>
      </xdr:nvSpPr>
      <xdr:spPr>
        <a:xfrm>
          <a:off x="1609725" y="4600575"/>
          <a:ext cx="142875" cy="133350"/>
        </a:xfrm>
        <a:prstGeom prst="smileyFace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8"/>
  <sheetViews>
    <sheetView tabSelected="1" topLeftCell="A12" workbookViewId="0">
      <pane xSplit="5" topLeftCell="Z7" activePane="topRight" state="frozen"/>
      <selection pane="topRight" activeCell="AF13" sqref="AF13"/>
    </sheetView>
  </sheetViews>
  <sheetFormatPr defaultRowHeight="14.45"/>
  <cols>
    <col min="6" max="6" width="11" customWidth="1"/>
    <col min="10" max="10" width="11.140625" customWidth="1"/>
    <col min="11" max="11" width="12.5703125" customWidth="1"/>
    <col min="12" max="12" width="13" customWidth="1"/>
    <col min="13" max="13" width="12.28515625" customWidth="1"/>
    <col min="14" max="14" width="11.7109375" customWidth="1"/>
    <col min="15" max="15" width="12.7109375" customWidth="1"/>
    <col min="16" max="16" width="13.7109375" customWidth="1"/>
    <col min="17" max="17" width="12.28515625" customWidth="1"/>
    <col min="18" max="18" width="12.7109375" customWidth="1"/>
    <col min="19" max="19" width="14.7109375" customWidth="1"/>
    <col min="20" max="20" width="13.7109375" customWidth="1"/>
    <col min="21" max="21" width="12.85546875" customWidth="1"/>
    <col min="22" max="22" width="12.140625" customWidth="1"/>
    <col min="23" max="23" width="11.85546875" customWidth="1"/>
    <col min="25" max="25" width="11.140625" customWidth="1"/>
    <col min="26" max="26" width="13.140625" customWidth="1"/>
    <col min="27" max="27" width="13.85546875" customWidth="1"/>
    <col min="28" max="29" width="11.28515625" bestFit="1" customWidth="1"/>
    <col min="30" max="30" width="11.42578125" customWidth="1"/>
    <col min="31" max="31" width="11.28515625" customWidth="1"/>
    <col min="32" max="32" width="11.140625" customWidth="1"/>
    <col min="33" max="33" width="11.5703125" customWidth="1"/>
    <col min="34" max="34" width="12.140625" customWidth="1"/>
    <col min="35" max="35" width="11.85546875" customWidth="1"/>
    <col min="36" max="36" width="12.42578125" customWidth="1"/>
    <col min="37" max="37" width="12.7109375" customWidth="1"/>
  </cols>
  <sheetData>
    <row r="1" spans="1:9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</row>
    <row r="2" spans="1:9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</row>
    <row r="3" spans="1:9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</row>
    <row r="4" spans="1:9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</row>
    <row r="5" spans="1:9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7"/>
      <c r="CC5" s="17"/>
      <c r="CD5" s="17"/>
      <c r="CE5" s="17"/>
    </row>
    <row r="6" spans="1:9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7"/>
      <c r="CC6" s="17"/>
      <c r="CD6" s="17"/>
      <c r="CE6" s="17"/>
    </row>
    <row r="7" spans="1:9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7"/>
      <c r="CC7" s="17"/>
      <c r="CD7" s="17"/>
      <c r="CE7" s="17"/>
    </row>
    <row r="8" spans="1:9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7"/>
      <c r="CC8" s="17"/>
      <c r="CD8" s="17"/>
      <c r="CE8" s="17"/>
    </row>
    <row r="9" spans="1:9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</row>
    <row r="10" spans="1:9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</row>
    <row r="11" spans="1:9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</row>
    <row r="12" spans="1:9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</row>
    <row r="13" spans="1:9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</row>
    <row r="14" spans="1:92">
      <c r="A14" s="59" t="s">
        <v>0</v>
      </c>
      <c r="B14" s="60"/>
      <c r="C14" s="60"/>
      <c r="D14" s="6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</row>
    <row r="15" spans="1:9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</row>
    <row r="16" spans="1:92">
      <c r="A16" s="12"/>
      <c r="B16" s="19" t="s">
        <v>1</v>
      </c>
      <c r="C16" s="19" t="s">
        <v>2</v>
      </c>
      <c r="D16" s="19" t="s">
        <v>3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</row>
    <row r="17" spans="1:92">
      <c r="A17" s="19" t="s">
        <v>4</v>
      </c>
      <c r="B17" s="20">
        <f>15/30</f>
        <v>0.5</v>
      </c>
      <c r="C17" s="20">
        <f>14/30</f>
        <v>0.46666666666666667</v>
      </c>
      <c r="D17" s="20">
        <f>1/30</f>
        <v>3.3333333333333333E-2</v>
      </c>
      <c r="E17" s="13" t="s">
        <v>5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</row>
    <row r="18" spans="1:92">
      <c r="A18" s="19" t="s">
        <v>6</v>
      </c>
      <c r="B18" s="21">
        <f>15/29</f>
        <v>0.51724137931034486</v>
      </c>
      <c r="C18" s="21">
        <f>13/29</f>
        <v>0.44827586206896552</v>
      </c>
      <c r="D18" s="21">
        <f>1/29</f>
        <v>3.4482758620689655E-2</v>
      </c>
      <c r="E18" s="13" t="s">
        <v>7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</row>
    <row r="19" spans="1:92">
      <c r="A19" s="19" t="s">
        <v>8</v>
      </c>
      <c r="B19" s="21">
        <f>13/30</f>
        <v>0.43333333333333335</v>
      </c>
      <c r="C19" s="21">
        <f>16/30</f>
        <v>0.53333333333333333</v>
      </c>
      <c r="D19" s="21">
        <f>1/30</f>
        <v>3.3333333333333333E-2</v>
      </c>
      <c r="E19" s="13" t="s">
        <v>5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</row>
    <row r="20" spans="1:92">
      <c r="A20" s="19" t="s">
        <v>9</v>
      </c>
      <c r="B20" s="21">
        <f>14/28</f>
        <v>0.5</v>
      </c>
      <c r="C20" s="21">
        <f>13/28</f>
        <v>0.4642857142857143</v>
      </c>
      <c r="D20" s="21">
        <f>1/28</f>
        <v>3.5714285714285712E-2</v>
      </c>
      <c r="E20" s="13" t="s">
        <v>10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</row>
    <row r="21" spans="1:92" ht="15">
      <c r="A21" s="12"/>
      <c r="B21" s="12"/>
      <c r="C21" s="12"/>
      <c r="D21" s="12"/>
      <c r="E21" s="12"/>
      <c r="F21" s="13">
        <v>1</v>
      </c>
      <c r="G21" s="13">
        <f>1+F21</f>
        <v>2</v>
      </c>
      <c r="H21" s="13">
        <f t="shared" ref="H21:AI21" si="0">1+G21</f>
        <v>3</v>
      </c>
      <c r="I21" s="13">
        <f t="shared" si="0"/>
        <v>4</v>
      </c>
      <c r="J21" s="13">
        <f t="shared" si="0"/>
        <v>5</v>
      </c>
      <c r="K21" s="13">
        <f t="shared" si="0"/>
        <v>6</v>
      </c>
      <c r="L21" s="13">
        <f t="shared" si="0"/>
        <v>7</v>
      </c>
      <c r="M21" s="13">
        <f t="shared" si="0"/>
        <v>8</v>
      </c>
      <c r="N21" s="13">
        <f t="shared" si="0"/>
        <v>9</v>
      </c>
      <c r="O21" s="13">
        <f t="shared" si="0"/>
        <v>10</v>
      </c>
      <c r="P21" s="13">
        <f t="shared" si="0"/>
        <v>11</v>
      </c>
      <c r="Q21" s="13">
        <f t="shared" si="0"/>
        <v>12</v>
      </c>
      <c r="R21" s="13">
        <f t="shared" si="0"/>
        <v>13</v>
      </c>
      <c r="S21" s="13">
        <f t="shared" si="0"/>
        <v>14</v>
      </c>
      <c r="T21" s="13">
        <f t="shared" si="0"/>
        <v>15</v>
      </c>
      <c r="U21" s="13">
        <f t="shared" si="0"/>
        <v>16</v>
      </c>
      <c r="V21" s="13">
        <f t="shared" si="0"/>
        <v>17</v>
      </c>
      <c r="W21" s="13">
        <f t="shared" si="0"/>
        <v>18</v>
      </c>
      <c r="X21" s="13">
        <f t="shared" si="0"/>
        <v>19</v>
      </c>
      <c r="Y21" s="13">
        <f t="shared" si="0"/>
        <v>20</v>
      </c>
      <c r="Z21" s="13">
        <f t="shared" si="0"/>
        <v>21</v>
      </c>
      <c r="AA21" s="13">
        <f t="shared" si="0"/>
        <v>22</v>
      </c>
      <c r="AB21" s="13">
        <f t="shared" si="0"/>
        <v>23</v>
      </c>
      <c r="AC21" s="13">
        <f t="shared" si="0"/>
        <v>24</v>
      </c>
      <c r="AD21" s="13">
        <f t="shared" si="0"/>
        <v>25</v>
      </c>
      <c r="AE21" s="13">
        <f t="shared" si="0"/>
        <v>26</v>
      </c>
      <c r="AF21" s="13">
        <f t="shared" si="0"/>
        <v>27</v>
      </c>
      <c r="AG21" s="13">
        <f t="shared" si="0"/>
        <v>28</v>
      </c>
      <c r="AH21" s="13">
        <f t="shared" si="0"/>
        <v>29</v>
      </c>
      <c r="AI21" s="13">
        <f t="shared" si="0"/>
        <v>30</v>
      </c>
      <c r="AJ21" s="13">
        <f t="shared" ref="AJ21" si="1">1+AI21</f>
        <v>31</v>
      </c>
      <c r="AK21" s="13">
        <f t="shared" ref="AK21" si="2">1+AJ21</f>
        <v>32</v>
      </c>
      <c r="AL21" s="13">
        <f t="shared" ref="AL21" si="3">1+AK21</f>
        <v>33</v>
      </c>
      <c r="AM21" s="13">
        <f t="shared" ref="AM21" si="4">1+AL21</f>
        <v>34</v>
      </c>
      <c r="AN21" s="13">
        <f t="shared" ref="AN21:AO21" si="5">1+AM21</f>
        <v>35</v>
      </c>
      <c r="AO21" s="13">
        <f t="shared" si="5"/>
        <v>36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</row>
    <row r="22" spans="1:92" ht="15">
      <c r="A22" s="22" t="s">
        <v>11</v>
      </c>
      <c r="B22" s="12" t="s">
        <v>12</v>
      </c>
      <c r="C22" s="12"/>
      <c r="D22" s="12"/>
      <c r="E22" s="13"/>
      <c r="F22" s="30">
        <v>46030</v>
      </c>
      <c r="G22" s="29">
        <v>46034</v>
      </c>
      <c r="H22" s="30">
        <v>46037</v>
      </c>
      <c r="I22" s="30">
        <v>46041</v>
      </c>
      <c r="J22" s="30">
        <v>46044</v>
      </c>
      <c r="K22" s="29">
        <v>46048</v>
      </c>
      <c r="L22" s="29">
        <v>46051</v>
      </c>
      <c r="M22" s="38">
        <v>46055</v>
      </c>
      <c r="N22" s="29">
        <v>46058</v>
      </c>
      <c r="O22" s="29">
        <v>46072</v>
      </c>
      <c r="P22" s="29">
        <v>46090</v>
      </c>
      <c r="Q22" s="29">
        <v>46093</v>
      </c>
      <c r="R22" s="29">
        <v>46097</v>
      </c>
      <c r="S22" s="30">
        <v>46100</v>
      </c>
      <c r="T22" s="39">
        <v>46105</v>
      </c>
      <c r="U22" s="40">
        <v>46107</v>
      </c>
      <c r="V22" s="39">
        <v>46111</v>
      </c>
      <c r="W22" s="40">
        <v>46114</v>
      </c>
      <c r="X22" s="39">
        <v>46125</v>
      </c>
      <c r="Y22" s="40">
        <v>46128</v>
      </c>
      <c r="Z22" s="39">
        <v>46132</v>
      </c>
      <c r="AA22" s="40">
        <v>46135</v>
      </c>
      <c r="AB22" s="39">
        <v>46139</v>
      </c>
      <c r="AC22" s="52" t="s">
        <v>13</v>
      </c>
      <c r="AD22" s="51" t="s">
        <v>14</v>
      </c>
      <c r="AE22" s="52" t="s">
        <v>15</v>
      </c>
      <c r="AF22" s="51" t="s">
        <v>16</v>
      </c>
      <c r="AG22" s="52" t="s">
        <v>17</v>
      </c>
      <c r="AH22" s="57" t="s">
        <v>18</v>
      </c>
      <c r="AI22" s="58" t="s">
        <v>19</v>
      </c>
      <c r="AJ22" s="39">
        <v>46188</v>
      </c>
      <c r="AK22" s="47">
        <v>46191</v>
      </c>
      <c r="AL22" s="53">
        <v>46195</v>
      </c>
      <c r="AM22" s="40">
        <v>46198</v>
      </c>
      <c r="AN22" s="39">
        <v>46202</v>
      </c>
      <c r="AO22" s="47">
        <v>46205</v>
      </c>
      <c r="AP22" s="16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</row>
    <row r="23" spans="1:92" ht="15">
      <c r="A23" s="12"/>
      <c r="B23" s="12"/>
      <c r="C23" s="12"/>
      <c r="D23" s="12"/>
      <c r="E23" s="1" t="s">
        <v>20</v>
      </c>
      <c r="F23" s="41" t="s">
        <v>21</v>
      </c>
      <c r="G23" s="41" t="s">
        <v>22</v>
      </c>
      <c r="H23" s="33" t="s">
        <v>4</v>
      </c>
      <c r="I23" s="41" t="s">
        <v>6</v>
      </c>
      <c r="J23" s="31" t="s">
        <v>23</v>
      </c>
      <c r="K23" s="32" t="s">
        <v>24</v>
      </c>
      <c r="L23" s="33" t="s">
        <v>8</v>
      </c>
      <c r="M23" s="42" t="s">
        <v>25</v>
      </c>
      <c r="N23" s="42" t="s">
        <v>25</v>
      </c>
      <c r="O23" s="46" t="s">
        <v>22</v>
      </c>
      <c r="P23" s="42" t="s">
        <v>23</v>
      </c>
      <c r="Q23" s="42" t="s">
        <v>23</v>
      </c>
      <c r="R23" s="45" t="s">
        <v>26</v>
      </c>
      <c r="S23" s="31" t="s">
        <v>26</v>
      </c>
      <c r="T23" s="43" t="s">
        <v>23</v>
      </c>
      <c r="U23" s="33" t="s">
        <v>27</v>
      </c>
      <c r="V23" s="41" t="s">
        <v>28</v>
      </c>
      <c r="W23" s="33" t="s">
        <v>26</v>
      </c>
      <c r="X23" s="41" t="s">
        <v>9</v>
      </c>
      <c r="Y23" s="33" t="s">
        <v>4</v>
      </c>
      <c r="Z23" s="41" t="s">
        <v>22</v>
      </c>
      <c r="AA23" s="33" t="s">
        <v>22</v>
      </c>
      <c r="AB23" s="41" t="s">
        <v>21</v>
      </c>
      <c r="AC23" s="32" t="s">
        <v>21</v>
      </c>
      <c r="AD23" s="41" t="s">
        <v>28</v>
      </c>
      <c r="AE23" s="33" t="s">
        <v>22</v>
      </c>
      <c r="AF23" s="41" t="s">
        <v>29</v>
      </c>
      <c r="AG23" s="42" t="s">
        <v>28</v>
      </c>
      <c r="AH23" s="62" t="s">
        <v>26</v>
      </c>
      <c r="AI23" s="63" t="s">
        <v>26</v>
      </c>
      <c r="AJ23" s="55"/>
      <c r="AK23" s="50"/>
      <c r="AL23" s="49"/>
      <c r="AM23" s="48"/>
      <c r="AN23" s="49"/>
      <c r="AO23" s="54"/>
      <c r="AP23" s="16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</row>
    <row r="24" spans="1:92" ht="15">
      <c r="A24" s="12"/>
      <c r="B24" s="12"/>
      <c r="C24" s="12"/>
      <c r="D24" s="12"/>
      <c r="E24" s="1" t="s">
        <v>30</v>
      </c>
      <c r="F24" s="6" t="s">
        <v>22</v>
      </c>
      <c r="G24" s="27" t="s">
        <v>6</v>
      </c>
      <c r="H24" s="7" t="s">
        <v>8</v>
      </c>
      <c r="I24" s="27" t="s">
        <v>23</v>
      </c>
      <c r="J24" s="34" t="s">
        <v>24</v>
      </c>
      <c r="K24" s="32" t="s">
        <v>23</v>
      </c>
      <c r="L24" s="7" t="s">
        <v>24</v>
      </c>
      <c r="M24" s="27" t="s">
        <v>22</v>
      </c>
      <c r="N24" s="27" t="s">
        <v>22</v>
      </c>
      <c r="O24" s="27" t="s">
        <v>25</v>
      </c>
      <c r="P24" s="27" t="s">
        <v>26</v>
      </c>
      <c r="Q24" s="27" t="s">
        <v>26</v>
      </c>
      <c r="R24" s="44" t="s">
        <v>23</v>
      </c>
      <c r="S24" s="23" t="s">
        <v>23</v>
      </c>
      <c r="T24" s="25" t="s">
        <v>26</v>
      </c>
      <c r="U24" s="7" t="s">
        <v>28</v>
      </c>
      <c r="V24" s="6" t="s">
        <v>27</v>
      </c>
      <c r="W24" s="7" t="s">
        <v>23</v>
      </c>
      <c r="X24" s="6" t="s">
        <v>22</v>
      </c>
      <c r="Y24" s="7" t="s">
        <v>25</v>
      </c>
      <c r="Z24" s="6" t="s">
        <v>21</v>
      </c>
      <c r="AA24" s="7" t="s">
        <v>21</v>
      </c>
      <c r="AB24" s="6" t="s">
        <v>22</v>
      </c>
      <c r="AC24" s="18" t="s">
        <v>22</v>
      </c>
      <c r="AD24" s="6" t="s">
        <v>27</v>
      </c>
      <c r="AE24" s="7" t="s">
        <v>25</v>
      </c>
      <c r="AF24" s="6" t="s">
        <v>28</v>
      </c>
      <c r="AG24" s="27" t="s">
        <v>27</v>
      </c>
      <c r="AH24" s="6" t="s">
        <v>23</v>
      </c>
      <c r="AI24" s="34" t="s">
        <v>23</v>
      </c>
      <c r="AJ24" s="16"/>
      <c r="AK24" s="1"/>
      <c r="AL24" s="2"/>
      <c r="AM24" s="1"/>
      <c r="AN24" s="2"/>
      <c r="AO24" s="3"/>
      <c r="AP24" s="16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</row>
    <row r="25" spans="1:92" ht="15">
      <c r="A25" s="12"/>
      <c r="B25" s="12"/>
      <c r="C25" s="12"/>
      <c r="D25" s="12"/>
      <c r="E25" s="1" t="s">
        <v>31</v>
      </c>
      <c r="F25" s="8" t="s">
        <v>32</v>
      </c>
      <c r="G25" s="28" t="s">
        <v>32</v>
      </c>
      <c r="H25" s="9" t="s">
        <v>6</v>
      </c>
      <c r="I25" s="28" t="s">
        <v>4</v>
      </c>
      <c r="J25" s="35" t="s">
        <v>32</v>
      </c>
      <c r="K25" s="36" t="s">
        <v>32</v>
      </c>
      <c r="L25" s="9" t="s">
        <v>9</v>
      </c>
      <c r="M25" s="28" t="s">
        <v>32</v>
      </c>
      <c r="N25" s="28" t="s">
        <v>32</v>
      </c>
      <c r="O25" s="28" t="s">
        <v>32</v>
      </c>
      <c r="P25" s="28" t="s">
        <v>32</v>
      </c>
      <c r="Q25" s="28" t="s">
        <v>32</v>
      </c>
      <c r="R25" s="37" t="s">
        <v>32</v>
      </c>
      <c r="S25" s="24" t="s">
        <v>32</v>
      </c>
      <c r="T25" s="26" t="s">
        <v>32</v>
      </c>
      <c r="U25" s="9" t="s">
        <v>32</v>
      </c>
      <c r="V25" s="10" t="s">
        <v>32</v>
      </c>
      <c r="W25" s="11" t="s">
        <v>32</v>
      </c>
      <c r="X25" s="8" t="s">
        <v>32</v>
      </c>
      <c r="Y25" s="9" t="s">
        <v>8</v>
      </c>
      <c r="Z25" s="8" t="s">
        <v>32</v>
      </c>
      <c r="AA25" s="9" t="s">
        <v>32</v>
      </c>
      <c r="AB25" s="8" t="s">
        <v>32</v>
      </c>
      <c r="AC25" s="9" t="s">
        <v>32</v>
      </c>
      <c r="AD25" s="8" t="s">
        <v>32</v>
      </c>
      <c r="AE25" s="9" t="s">
        <v>32</v>
      </c>
      <c r="AF25" s="8" t="s">
        <v>32</v>
      </c>
      <c r="AG25" s="28" t="s">
        <v>32</v>
      </c>
      <c r="AH25" s="8" t="s">
        <v>32</v>
      </c>
      <c r="AI25" s="35" t="s">
        <v>32</v>
      </c>
      <c r="AJ25" s="56"/>
      <c r="AK25" s="15"/>
      <c r="AL25" s="4"/>
      <c r="AM25" s="15"/>
      <c r="AN25" s="4"/>
      <c r="AO25" s="5"/>
      <c r="AP25" s="16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</row>
    <row r="26" spans="1:92" ht="1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</row>
    <row r="27" spans="1:9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</row>
    <row r="28" spans="1:9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</row>
    <row r="29" spans="1:9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</row>
    <row r="30" spans="1:9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</row>
    <row r="31" spans="1:9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</row>
    <row r="32" spans="1:9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</row>
    <row r="33" spans="1:69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</row>
    <row r="34" spans="1:69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</row>
    <row r="35" spans="1:69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</row>
    <row r="36" spans="1:69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</row>
    <row r="37" spans="1:69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</row>
    <row r="38" spans="1:69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</row>
    <row r="39" spans="1:6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</row>
    <row r="40" spans="1:69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</row>
    <row r="41" spans="1:69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</row>
    <row r="42" spans="1:69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</row>
    <row r="43" spans="1:69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</row>
    <row r="44" spans="1:69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</row>
    <row r="45" spans="1:69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</row>
    <row r="46" spans="1:69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</row>
    <row r="47" spans="1:69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</row>
    <row r="48" spans="1:69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</row>
    <row r="49" spans="1:6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</row>
    <row r="50" spans="1:69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</row>
    <row r="51" spans="1:69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</row>
    <row r="52" spans="1:69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</row>
    <row r="53" spans="1:69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</row>
    <row r="54" spans="1:69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</row>
    <row r="55" spans="1:69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</row>
    <row r="56" spans="1:69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</row>
    <row r="57" spans="1:69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</row>
    <row r="58" spans="1:69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</row>
  </sheetData>
  <mergeCells count="1">
    <mergeCell ref="A14:D14"/>
  </mergeCells>
  <conditionalFormatting sqref="B17:D20">
    <cfRule type="cellIs" dxfId="2" priority="1" operator="between">
      <formula>40%</formula>
      <formula>60%</formula>
    </cfRule>
    <cfRule type="top10" dxfId="1" priority="2" bottom="1" rank="40"/>
    <cfRule type="top10" dxfId="0" priority="3" rank="60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José Brites</cp:lastModifiedBy>
  <cp:revision/>
  <dcterms:created xsi:type="dcterms:W3CDTF">2026-03-17T15:32:41Z</dcterms:created>
  <dcterms:modified xsi:type="dcterms:W3CDTF">2026-05-05T15:30:00Z</dcterms:modified>
  <cp:category/>
  <cp:contentStatus/>
</cp:coreProperties>
</file>